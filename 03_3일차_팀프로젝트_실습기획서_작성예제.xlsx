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home\startcamp_documents\Day03\"/>
    </mc:Choice>
  </mc:AlternateContent>
  <xr:revisionPtr revIDLastSave="0" documentId="13_ncr:1_{BCB1C685-A225-42E8-83AC-8BEB46BF3417}" xr6:coauthVersionLast="47" xr6:coauthVersionMax="47" xr10:uidLastSave="{00000000-0000-0000-0000-000000000000}"/>
  <bookViews>
    <workbookView xWindow="3120" yWindow="3120" windowWidth="28800" windowHeight="15345" tabRatio="500" firstSheet="3" activeTab="5" xr2:uid="{00000000-000D-0000-FFFF-FFFF00000000}"/>
  </bookViews>
  <sheets>
    <sheet name="0_사용안내" sheetId="1" r:id="rId1"/>
    <sheet name="1_프롬프트가이드(참고)" sheetId="2" r:id="rId2"/>
    <sheet name="2_요구사항분석(샘플)" sheetId="3" r:id="rId3"/>
    <sheet name="3_아이디어도출(샘플)" sheetId="4" r:id="rId4"/>
    <sheet name="4_MVP정의(샘플)" sheetId="5" r:id="rId5"/>
    <sheet name="5_WBS_간트차트(샘플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6" l="1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G12" i="4"/>
  <c r="G11" i="4"/>
  <c r="G10" i="4"/>
  <c r="G9" i="4"/>
  <c r="G8" i="4"/>
  <c r="G7" i="4"/>
  <c r="G6" i="4"/>
  <c r="G5" i="4"/>
</calcChain>
</file>

<file path=xl/sharedStrings.xml><?xml version="1.0" encoding="utf-8"?>
<sst xmlns="http://schemas.openxmlformats.org/spreadsheetml/2006/main" count="295" uniqueCount="246">
  <si>
    <t>실습 소재</t>
  </si>
  <si>
    <t>사용 도구</t>
  </si>
  <si>
    <t>총 소요시간</t>
  </si>
  <si>
    <t>1_프롬프트가이드(참고)</t>
  </si>
  <si>
    <t>2_요구사항분석(샘플)</t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</si>
  <si>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</si>
  <si>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</si>
  <si>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</si>
  <si>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</si>
  <si>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</si>
  <si>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</si>
  <si>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</si>
  <si>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</si>
  <si>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</si>
  <si>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</si>
  <si>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</si>
  <si>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</si>
  <si>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</si>
  <si>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</si>
  <si>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</si>
  <si>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</si>
  <si>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</si>
  <si>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</si>
  <si>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</si>
  <si>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</si>
  <si>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</si>
  <si>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</si>
  <si>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</si>
  <si>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</si>
  <si>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</si>
  <si>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</si>
  <si>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</si>
  <si>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</si>
  <si>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</si>
  <si>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</si>
  <si>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</si>
  <si>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</si>
  <si>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</si>
  <si>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개발 의뢰 문서(RFP) 근거</t>
  </si>
  <si>
    <t>검토의견</t>
  </si>
  <si>
    <t>Must</t>
  </si>
  <si>
    <t>제공 데이터 기반 커뮤니티 구현</t>
  </si>
  <si>
    <t>5개 권역 중 1곳 선정, 제공 JSON 기반 FE(화면)/BE(서버) 데이터 연동 (직접 공공API 호출 불필요)</t>
  </si>
  <si>
    <t>III-1-가</t>
  </si>
  <si>
    <t>익명 커뮤니티 CRUD(등록.조회.수정.삭제)</t>
  </si>
  <si>
    <t>회원가입/로그인 없이 수정용 비밀번호로만 권한 확인, 평문 저장(교육목적 의도된 설계)</t>
  </si>
  <si>
    <t>III-2</t>
  </si>
  <si>
    <t>비밀번호 평문 저장은 실무에서는 위험하지만 교육 목적상 의도된 설계 — 팀원 전체에게 이유 공유</t>
  </si>
  <si>
    <t>챗봇 기능</t>
  </si>
  <si>
    <t>FastAPI(백엔드 서버 개발 도구) POST /api/chat, 제공 JSON 기반 자연어 질의응답, 대화 히스토리 유지 UI</t>
  </si>
  <si>
    <t>III-3</t>
  </si>
  <si>
    <t>대화 히스토리 유지 UI는 놓치기 쉬운 요구사항 — 화면 설계 단계에서 반드시 반영</t>
  </si>
  <si>
    <t>기술스택 고정</t>
  </si>
  <si>
    <t>III-4,5</t>
  </si>
  <si>
    <t>지정된 기술스택 외 임의 변경 불가 — 착수 전 팀 전체 숙지 필요</t>
  </si>
  <si>
    <t>배포(완성한 프로그램을 인터넷에 올려 접속 가능하게 만드는 것)</t>
  </si>
  <si>
    <t>FE-&gt;Netlify, BE-&gt;Render, 배포 후 URL 동작 확인 산출물 포함</t>
  </si>
  <si>
    <t>III-6</t>
  </si>
  <si>
    <t>배포 URL 정상 동작 확인까지가 산출물 — 마감 전 체크리스트에 포함</t>
  </si>
  <si>
    <t>제약</t>
  </si>
  <si>
    <t>개발도구 제한</t>
  </si>
  <si>
    <t>VSCode Copilot + OpenAI API 조합만 허용. Claude Code/Codex/Cursor 등 타 AI 코딩 도구 사용 금지(보안사유)</t>
  </si>
  <si>
    <t>III-7</t>
  </si>
  <si>
    <t>타 AI 코딩 도구 사용 시 보안 사유로 문제될 수 있음 — 착수 전 팀 전체 공지 필요</t>
  </si>
  <si>
    <t>보안</t>
  </si>
  <si>
    <t>API키.DB경로 등 민감정보는 .env(비밀번호.API키처럼 노출되면 안 되는 정보를 코드와 분리해 저장하는 파일)로 관리, 소스/GitHub에 직접 기재 절대금지, .gitignore 등록 필수</t>
  </si>
  <si>
    <t>III-5-나</t>
  </si>
  <si>
    <t>.gitignore 미등록 시 민감정보 유출 위험 — 첫 커밋 전 반드시 확인</t>
  </si>
  <si>
    <t>일정/범위 고정</t>
  </si>
  <si>
    <t>납기 YYYY-MM-DD 15:00, 착수 후 기능 요구사항 변경 없음</t>
  </si>
  <si>
    <t>II-3, V-5</t>
  </si>
  <si>
    <t>착수 후 기능 추가 요청은 원칙적으로 불가 — MVP 정의 단계에서 범위를 최종 확정해야 함</t>
  </si>
  <si>
    <t>Should/Could</t>
  </si>
  <si>
    <t>선택기능 최소 1개</t>
  </si>
  <si>
    <t>지도/대시보드/캘린더/경로/날씨/알림/다국어/공유 중 자율 선택, 데이터 라이선스 확인 필요</t>
  </si>
  <si>
    <t>IV-참고2</t>
  </si>
  <si>
    <t>8개 후보 중 팀 역량에 맞는 1개만 선택 — 욕심내서 여러 개 시도하지 않기</t>
  </si>
  <si>
    <t>Should</t>
  </si>
  <si>
    <t>데이터 라이선스 확인</t>
  </si>
  <si>
    <t>제공 JSON 외 추가 수집 시 공공누리(공공데이터를 써도 되는지 정부가 정한 이용허락 표시) 유형(1~4) 사전 확인 및 상업적 활용 가능여부 검토</t>
  </si>
  <si>
    <t>III-1-나</t>
  </si>
  <si>
    <t>공공누리 유형 미확인 시 상업적 활용이 제한될 수 있음 — 선택기능 확정 전 반드시 체크</t>
  </si>
  <si>
    <t>선택기능 아이디어 도출 및 평가</t>
  </si>
  <si>
    <t>선택기능</t>
  </si>
  <si>
    <t>설명</t>
  </si>
  <si>
    <t>구현난이도(1~5,낮을수록쉬움)</t>
  </si>
  <si>
    <t>실현가능성(1~5)</t>
  </si>
  <si>
    <t>임팩트(1~5)</t>
  </si>
  <si>
    <t>종합점수(자동)</t>
  </si>
  <si>
    <t>선정여부</t>
  </si>
  <si>
    <t>지도 시각화</t>
  </si>
  <si>
    <t>Leaflet.js/Kakao Maps로 관광지.맛집 핀 시각화 및 권역 필터</t>
  </si>
  <si>
    <t>선정</t>
  </si>
  <si>
    <t>데이터 시각화 대시보드</t>
  </si>
  <si>
    <t>Chart.js/D3.js로 권역별 게시글 현황, 인기 지역 통계</t>
  </si>
  <si>
    <t>제외</t>
  </si>
  <si>
    <t>축제 캘린더</t>
  </si>
  <si>
    <t>FullCalendar 등으로 권역별 축제 일정 캘린더 시각화</t>
  </si>
  <si>
    <t>보류</t>
  </si>
  <si>
    <t>경로 안내</t>
  </si>
  <si>
    <t>복수 관광지.맛집 선택 후 이동 경로 지도 시각화</t>
  </si>
  <si>
    <t>날씨 정보 연동</t>
  </si>
  <si>
    <t>외부 날씨 API 연동, 권역별 현재 날씨.여행 적합도 표시</t>
  </si>
  <si>
    <t>실시간 알림</t>
  </si>
  <si>
    <t>WebSocket(새로고침 없이 실시간으로 데이터를 주고받는 통신 방식) 기반 새 게시글 실시간 알림/접속자 현황</t>
  </si>
  <si>
    <t>다국어 지원</t>
  </si>
  <si>
    <t>i18n(여러 나라 언어를 지원하게 만드는 기술) 활용 한/영 전환 및 다국어 콘텐츠</t>
  </si>
  <si>
    <t>소셜 공유 연동</t>
  </si>
  <si>
    <t>카카오톡.링크 복사 공유 및 OG 태그(공유했을 때 미리보기를 예쁘게 보여주는 설정) 메타데이터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</si>
  <si>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</si>
  <si>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</si>
  <si>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</si>
  <si>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</si>
  <si>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지역 주민.관광객이 공공데이터에 흩어진 지역정보를 한 곳에서 찾고 공유할 채널이 없음</t>
  </si>
  <si>
    <t>타깃 사용자</t>
  </si>
  <si>
    <t>선정 권역 방문 관광객 및 지역 주민 (회원가입 부담 없는 익명 이용자)</t>
  </si>
  <si>
    <t>성공 지표</t>
  </si>
  <si>
    <t>Must have (반드시 포함 - 개발 의뢰 문서(RFP) 필수 요구사항)</t>
  </si>
  <si>
    <t>선정 1개 권역 카테고리 게시판 CRUD (목록/상세/작성/수정/삭제, 비밀번호 기반 권한)</t>
  </si>
  <si>
    <t>챗봇 API(POST /api/chat) 및 채팅 UI (대화 히스토리 유지, 모바일 대응, 플로팅)</t>
  </si>
  <si>
    <t>Netlify(FE 배포 서비스).Render(BE 배포 서비스)로 배포 및 URL 동작 확인</t>
  </si>
  <si>
    <t>기능명세서(데이터 출처.라이선스 목록 포함) 및 WBS 문서</t>
  </si>
  <si>
    <t>Should / Could have (선정 기능: 지도 시각화)</t>
  </si>
  <si>
    <t>지도 시각화 - Kakao Maps API로 권역 내 관광지.맛집 위치를 지도에 마커로 표시</t>
  </si>
  <si>
    <t>지도 필터 기능 - 카테고리별(관광지/맛집) 마커 필터링 및 클릭 시 상세정보 팝업</t>
  </si>
  <si>
    <t>권역 소개 페이지 - 선정 권역 개요 및 대표 이미지 노출 (지도 화면 상단)</t>
  </si>
  <si>
    <t>Won't have (이번 MVP 범위에서 제외 - 스코프 크립: 범위가 계속 늘어나는 현상 방지)</t>
  </si>
  <si>
    <t>회원가입/로그인, 소셜 인증 등 사용자 계정 체계</t>
  </si>
  <si>
    <t>선정하지 않은 나머지 4개 권역 데이터 및 기능</t>
  </si>
  <si>
    <t>LocalHub WBS + 간트차트 (Day 1~Day 3 기준 예시)</t>
  </si>
  <si>
    <t>No</t>
  </si>
  <si>
    <t>대분류</t>
  </si>
  <si>
    <t>작업명</t>
  </si>
  <si>
    <t>담당</t>
  </si>
  <si>
    <t>시작(Day)</t>
  </si>
  <si>
    <t>종료(Day)</t>
  </si>
  <si>
    <t>소요일</t>
  </si>
  <si>
    <t>진행률</t>
  </si>
  <si>
    <t>상태</t>
  </si>
  <si>
    <t>기획</t>
  </si>
  <si>
    <t>요구사항 분석 및 확정</t>
  </si>
  <si>
    <t>팀전체</t>
  </si>
  <si>
    <t>예정</t>
  </si>
  <si>
    <t>권역 선정 및 MVP 정의</t>
  </si>
  <si>
    <t>기획팀</t>
  </si>
  <si>
    <t>설계</t>
  </si>
  <si>
    <t>DB 스키마 설계 (SQLite)</t>
  </si>
  <si>
    <t>BE</t>
  </si>
  <si>
    <t>API 명세서 작성</t>
  </si>
  <si>
    <t>개발</t>
  </si>
  <si>
    <t>FE 기본 레이아웃/라우팅</t>
  </si>
  <si>
    <t>FE</t>
  </si>
  <si>
    <t>BE 게시판 CRUD API</t>
  </si>
  <si>
    <t>FE 게시판 화면 연동</t>
  </si>
  <si>
    <t>챗봇 API 개발</t>
  </si>
  <si>
    <t>챗봇 UI 위젯 개발</t>
  </si>
  <si>
    <t>선택기능 구현(택1)</t>
  </si>
  <si>
    <t>FE/BE</t>
  </si>
  <si>
    <t>배포</t>
  </si>
  <si>
    <t>Netlify/Render 배포 설정</t>
  </si>
  <si>
    <t>테스트</t>
  </si>
  <si>
    <t>통합 테스트 및 버그 수정</t>
  </si>
  <si>
    <t>문서화</t>
  </si>
  <si>
    <t>기능명세서.데이터출처 정리</t>
  </si>
  <si>
    <t>발표준비</t>
  </si>
  <si>
    <t>발표 PPT 제작 및 리허설</t>
  </si>
  <si>
    <t>범례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</si>
  <si>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</si>
  <si>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</si>
  <si>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</si>
  <si>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</si>
  <si>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</si>
  <si>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</si>
  <si>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</si>
  <si>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</si>
  <si>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</si>
  <si>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</si>
  <si>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</si>
  <si>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</si>
  <si>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</si>
  <si>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</si>
  <si>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</si>
  <si>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</si>
  <si>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</si>
  <si>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</si>
  <si>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</si>
  <si>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</si>
  <si>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</si>
  <si>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</si>
  <si>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</si>
  <si>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</si>
  <si>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</si>
  <si>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</si>
  <si>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</si>
  <si>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</si>
  <si>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</si>
  <si>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</si>
  <si>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</si>
  <si>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</si>
  <si>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</si>
  <si>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</si>
  <si>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</si>
  <si>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</si>
  <si>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</si>
  <si>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</si>
  <si>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</si>
  <si>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</si>
  <si>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</si>
  <si>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</si>
  <si>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</si>
  <si>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</si>
  <si>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</si>
  <si>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</si>
  <si>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</si>
  <si>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</si>
  <si>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</si>
  <si>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</si>
  <si>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</si>
  <si>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</si>
  <si>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</si>
  <si>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</si>
  <si>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</si>
  <si>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</si>
  <si>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</si>
  <si>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</si>
  <si>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</si>
  <si>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</si>
  <si>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</si>
  <si>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t>MoSCoW</t>
    </r>
    <r>
      <rPr>
        <sz val="9"/>
        <color rgb="FF222222"/>
        <rFont val="맑은 고딕"/>
        <family val="3"/>
        <charset val="129"/>
      </rPr>
      <t>란</t>
    </r>
    <r>
      <rPr>
        <sz val="9"/>
        <color rgb="FF222222"/>
        <rFont val="Arial"/>
        <family val="2"/>
      </rPr>
      <t xml:space="preserve">? </t>
    </r>
    <r>
      <rPr>
        <sz val="9"/>
        <color rgb="FF222222"/>
        <rFont val="맑은 고딕"/>
        <family val="3"/>
        <charset val="129"/>
      </rPr>
      <t>요구사항을</t>
    </r>
    <r>
      <rPr>
        <sz val="9"/>
        <color rgb="FF222222"/>
        <rFont val="Arial"/>
        <family val="2"/>
      </rPr>
      <t xml:space="preserve"> </t>
    </r>
    <r>
      <rPr>
        <b/>
        <sz val="9"/>
        <color rgb="FF222222"/>
        <rFont val="Arial"/>
        <family val="2"/>
      </rPr>
      <t>Must(</t>
    </r>
    <r>
      <rPr>
        <b/>
        <sz val="9"/>
        <color rgb="FF222222"/>
        <rFont val="맑은 고딕"/>
        <family val="3"/>
        <charset val="129"/>
      </rPr>
      <t>반드시</t>
    </r>
    <r>
      <rPr>
        <b/>
        <sz val="9"/>
        <color rgb="FF222222"/>
        <rFont val="Arial"/>
        <family val="2"/>
      </rPr>
      <t>)/Should(</t>
    </r>
    <r>
      <rPr>
        <b/>
        <sz val="9"/>
        <color rgb="FF222222"/>
        <rFont val="맑은 고딕"/>
        <family val="3"/>
        <charset val="129"/>
      </rPr>
      <t>중요</t>
    </r>
    <r>
      <rPr>
        <b/>
        <sz val="9"/>
        <color rgb="FF222222"/>
        <rFont val="Arial"/>
        <family val="2"/>
      </rPr>
      <t>)/Could(</t>
    </r>
    <r>
      <rPr>
        <b/>
        <sz val="9"/>
        <color rgb="FF222222"/>
        <rFont val="맑은 고딕"/>
        <family val="3"/>
        <charset val="129"/>
      </rPr>
      <t>있으면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좋음</t>
    </r>
    <r>
      <rPr>
        <b/>
        <sz val="9"/>
        <color rgb="FF222222"/>
        <rFont val="Arial"/>
        <family val="2"/>
      </rPr>
      <t>)/Won't(</t>
    </r>
    <r>
      <rPr>
        <b/>
        <sz val="9"/>
        <color rgb="FF222222"/>
        <rFont val="맑은 고딕"/>
        <family val="3"/>
        <charset val="129"/>
      </rPr>
      <t>이번엔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제외</t>
    </r>
    <r>
      <rPr>
        <b/>
        <sz val="9"/>
        <color rgb="FF222222"/>
        <rFont val="Arial"/>
        <family val="2"/>
      </rPr>
      <t>)</t>
    </r>
    <r>
      <rPr>
        <b/>
        <sz val="9"/>
        <color rgb="FF222222"/>
        <rFont val="맑은 고딕"/>
        <family val="3"/>
        <charset val="129"/>
      </rPr>
      <t>로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나눠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우선순위를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정하는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방법</t>
    </r>
    <r>
      <rPr>
        <sz val="9"/>
        <color rgb="FF222222"/>
        <rFont val="맑은 고딕"/>
        <family val="3"/>
        <charset val="129"/>
      </rPr>
      <t>입니다</t>
    </r>
    <r>
      <rPr>
        <sz val="9"/>
        <color rgb="FF222222"/>
        <rFont val="Arial"/>
        <family val="2"/>
      </rPr>
      <t>.</t>
    </r>
    <phoneticPr fontId="17" type="noConversion"/>
  </si>
  <si>
    <r>
      <rPr>
        <sz val="9"/>
        <color rgb="FF222222"/>
        <rFont val="맑은 고딕"/>
        <family val="3"/>
        <charset val="129"/>
      </rPr>
      <t>평가기준</t>
    </r>
    <r>
      <rPr>
        <sz val="9"/>
        <color rgb="FF222222"/>
        <rFont val="Arial"/>
        <family val="2"/>
      </rPr>
      <t xml:space="preserve">: 
 - </t>
    </r>
    <r>
      <rPr>
        <sz val="9"/>
        <color rgb="FF222222"/>
        <rFont val="맑은 고딕"/>
        <family val="3"/>
        <charset val="129"/>
      </rPr>
      <t>실현가능성</t>
    </r>
    <r>
      <rPr>
        <sz val="9"/>
        <color rgb="FF222222"/>
        <rFont val="Arial"/>
        <family val="2"/>
      </rPr>
      <t>(</t>
    </r>
    <r>
      <rPr>
        <sz val="9"/>
        <color rgb="FF222222"/>
        <rFont val="맑은 고딕"/>
        <family val="3"/>
        <charset val="129"/>
      </rPr>
      <t>우리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팀이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얼마나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쉽게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만들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수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있는가</t>
    </r>
    <r>
      <rPr>
        <sz val="9"/>
        <color rgb="FF222222"/>
        <rFont val="Arial"/>
        <family val="2"/>
      </rPr>
      <t xml:space="preserve">)
 - </t>
    </r>
    <r>
      <rPr>
        <sz val="9"/>
        <color rgb="FF222222"/>
        <rFont val="맑은 고딕"/>
        <family val="3"/>
        <charset val="129"/>
      </rPr>
      <t>임팩트</t>
    </r>
    <r>
      <rPr>
        <sz val="9"/>
        <color rgb="FF222222"/>
        <rFont val="Arial"/>
        <family val="2"/>
      </rPr>
      <t>(</t>
    </r>
    <r>
      <rPr>
        <sz val="9"/>
        <color rgb="FF222222"/>
        <rFont val="맑은 고딕"/>
        <family val="3"/>
        <charset val="129"/>
      </rPr>
      <t>사용자에게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얼마나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도움이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되는가</t>
    </r>
    <r>
      <rPr>
        <sz val="9"/>
        <color rgb="FF222222"/>
        <rFont val="Arial"/>
        <family val="2"/>
      </rPr>
      <t>)</t>
    </r>
    <r>
      <rPr>
        <sz val="9"/>
        <color rgb="FF222222"/>
        <rFont val="맑은 고딕"/>
        <family val="3"/>
        <charset val="129"/>
      </rPr>
      <t>는</t>
    </r>
    <r>
      <rPr>
        <sz val="9"/>
        <color rgb="FF222222"/>
        <rFont val="Arial"/>
        <family val="2"/>
      </rPr>
      <t xml:space="preserve"> 5</t>
    </r>
    <r>
      <rPr>
        <sz val="9"/>
        <color rgb="FF222222"/>
        <rFont val="맑은 고딕"/>
        <family val="3"/>
        <charset val="129"/>
      </rPr>
      <t>점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만점</t>
    </r>
    <r>
      <rPr>
        <sz val="9"/>
        <color rgb="FF222222"/>
        <rFont val="Arial"/>
        <family val="2"/>
      </rPr>
      <t>(5=</t>
    </r>
    <r>
      <rPr>
        <sz val="9"/>
        <color rgb="FF222222"/>
        <rFont val="맑은 고딕"/>
        <family val="3"/>
        <charset val="129"/>
      </rPr>
      <t>최고</t>
    </r>
    <r>
      <rPr>
        <sz val="9"/>
        <color rgb="FF222222"/>
        <rFont val="Arial"/>
        <family val="2"/>
      </rPr>
      <t xml:space="preserve">)
 - </t>
    </r>
    <r>
      <rPr>
        <sz val="9"/>
        <color rgb="FF222222"/>
        <rFont val="맑은 고딕"/>
        <family val="3"/>
        <charset val="129"/>
      </rPr>
      <t>종합점수</t>
    </r>
    <r>
      <rPr>
        <sz val="9"/>
        <color rgb="FF222222"/>
        <rFont val="Arial"/>
        <family val="2"/>
      </rPr>
      <t xml:space="preserve"> = </t>
    </r>
    <r>
      <rPr>
        <sz val="9"/>
        <color rgb="FF222222"/>
        <rFont val="맑은 고딕"/>
        <family val="3"/>
        <charset val="129"/>
      </rPr>
      <t>실현가능성</t>
    </r>
    <r>
      <rPr>
        <sz val="9"/>
        <color rgb="FF222222"/>
        <rFont val="Arial"/>
        <family val="2"/>
      </rPr>
      <t xml:space="preserve"> x </t>
    </r>
    <r>
      <rPr>
        <sz val="9"/>
        <color rgb="FF222222"/>
        <rFont val="맑은 고딕"/>
        <family val="3"/>
        <charset val="129"/>
      </rPr>
      <t>임팩트</t>
    </r>
    <r>
      <rPr>
        <sz val="9"/>
        <color rgb="FF222222"/>
        <rFont val="Arial"/>
        <family val="2"/>
      </rPr>
      <t xml:space="preserve"> x 2 (</t>
    </r>
    <r>
      <rPr>
        <sz val="9"/>
        <color rgb="FF222222"/>
        <rFont val="맑은 고딕"/>
        <family val="3"/>
        <charset val="129"/>
      </rPr>
      <t>자동계산</t>
    </r>
    <r>
      <rPr>
        <sz val="9"/>
        <color rgb="FF222222"/>
        <rFont val="Arial"/>
        <family val="2"/>
      </rPr>
      <t>, 50</t>
    </r>
    <r>
      <rPr>
        <sz val="9"/>
        <color rgb="FF222222"/>
        <rFont val="맑은 고딕"/>
        <family val="3"/>
        <charset val="129"/>
      </rPr>
      <t>점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만점</t>
    </r>
    <r>
      <rPr>
        <sz val="9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</si>
  <si>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부울경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경남</t>
    </r>
    <phoneticPr fontId="17" type="noConversion"/>
  </si>
  <si>
    <r>
      <t>FE(</t>
    </r>
    <r>
      <rPr>
        <sz val="10"/>
        <color rgb="FF222222"/>
        <rFont val="맑은 고딕"/>
        <family val="3"/>
        <charset val="129"/>
      </rPr>
      <t>화면</t>
    </r>
    <r>
      <rPr>
        <sz val="10"/>
        <color rgb="FF222222"/>
        <rFont val="Arial"/>
        <family val="2"/>
      </rPr>
      <t>): Vue.js 3 SPA(</t>
    </r>
    <r>
      <rPr>
        <sz val="10"/>
        <color rgb="FF222222"/>
        <rFont val="맑은 고딕"/>
        <family val="3"/>
        <charset val="129"/>
      </rPr>
      <t>새로고침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화면전환</t>
    </r>
    <r>
      <rPr>
        <sz val="10"/>
        <color rgb="FF222222"/>
        <rFont val="Arial"/>
        <family val="2"/>
      </rPr>
      <t>) / BE(</t>
    </r>
    <r>
      <rPr>
        <sz val="10"/>
        <color rgb="FF222222"/>
        <rFont val="맑은 고딕"/>
        <family val="3"/>
        <charset val="129"/>
      </rPr>
      <t>서버</t>
    </r>
    <r>
      <rPr>
        <sz val="10"/>
        <color rgb="FF222222"/>
        <rFont val="Arial"/>
        <family val="2"/>
      </rPr>
      <t xml:space="preserve">): FastAPI + SQLAlchemy(DB </t>
    </r>
    <r>
      <rPr>
        <sz val="10"/>
        <color rgb="FF222222"/>
        <rFont val="맑은 고딕"/>
        <family val="3"/>
        <charset val="129"/>
      </rPr>
      <t>연결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도구</t>
    </r>
    <r>
      <rPr>
        <sz val="10"/>
        <color rgb="FF222222"/>
        <rFont val="Arial"/>
        <family val="2"/>
      </rPr>
      <t>) + SQLite(</t>
    </r>
    <r>
      <rPr>
        <sz val="10"/>
        <color rgb="FF222222"/>
        <rFont val="맑은 고딕"/>
        <family val="3"/>
        <charset val="129"/>
      </rPr>
      <t>가벼운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데이터베이스</t>
    </r>
    <r>
      <rPr>
        <sz val="10"/>
        <color rgb="FF222222"/>
        <rFont val="Arial"/>
        <family val="2"/>
      </rPr>
      <t>)</t>
    </r>
    <phoneticPr fontId="17" type="noConversion"/>
  </si>
  <si>
    <r>
      <t>WBS(</t>
    </r>
    <r>
      <rPr>
        <sz val="8"/>
        <color rgb="FF222222"/>
        <rFont val="맑은 고딕"/>
        <family val="3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3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3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3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3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3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 xml:space="preserve">단순화
  </t>
    </r>
    <r>
      <rPr>
        <sz val="8"/>
        <color rgb="FF222222"/>
        <rFont val="Arial"/>
        <family val="2"/>
      </rPr>
      <t>(</t>
    </r>
    <r>
      <rPr>
        <sz val="8"/>
        <color rgb="FF222222"/>
        <rFont val="맑은 고딕"/>
        <family val="3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3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3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3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3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3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</si>
  <si>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</si>
  <si>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</si>
  <si>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직접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공공</t>
    </r>
    <r>
      <rPr>
        <sz val="10"/>
        <color rgb="FF222222"/>
        <rFont val="Arial"/>
        <family val="2"/>
      </rPr>
      <t xml:space="preserve">API </t>
    </r>
    <r>
      <rPr>
        <sz val="10"/>
        <color rgb="FF222222"/>
        <rFont val="맑은 고딕"/>
        <family val="3"/>
        <charset val="129"/>
      </rPr>
      <t>연동은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불필요함을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제공된</t>
    </r>
    <r>
      <rPr>
        <sz val="10"/>
        <color rgb="FF222222"/>
        <rFont val="Arial"/>
        <family val="2"/>
      </rPr>
      <t xml:space="preserve"> JSON </t>
    </r>
    <r>
      <rPr>
        <sz val="10"/>
        <color rgb="FF222222"/>
        <rFont val="맑은 고딕"/>
        <family val="3"/>
        <charset val="129"/>
      </rPr>
      <t>파일만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사용하면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</si>
  <si>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</si>
  <si>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</si>
  <si>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</si>
  <si>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sz val="10"/>
        <color rgb="FF222222"/>
        <rFont val="맑은 고딕"/>
        <family val="3"/>
        <charset val="129"/>
      </rPr>
      <t>선정하지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않은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</si>
  <si>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</si>
  <si>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</si>
  <si>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r>
      <rPr>
        <sz val="11"/>
        <color theme="1"/>
        <rFont val="맑은 고딕"/>
        <family val="2"/>
        <charset val="129"/>
      </rPr>
      <t>지도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시각화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맑은 고딕"/>
        <family val="2"/>
        <charset val="129"/>
      </rPr>
      <t>순위</t>
    </r>
    <r>
      <rPr>
        <sz val="11"/>
        <color theme="1"/>
        <rFont val="Calibri"/>
        <family val="2"/>
        <charset val="1"/>
      </rPr>
      <t xml:space="preserve">)
</t>
    </r>
    <r>
      <rPr>
        <sz val="11"/>
        <color theme="1"/>
        <rFont val="맑은 고딕"/>
        <family val="2"/>
        <charset val="129"/>
      </rPr>
      <t>축제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캘린더</t>
    </r>
    <r>
      <rPr>
        <sz val="11"/>
        <color theme="1"/>
        <rFont val="Calibri"/>
        <family val="2"/>
        <charset val="1"/>
      </rPr>
      <t xml:space="preserve"> / </t>
    </r>
    <r>
      <rPr>
        <sz val="11"/>
        <color theme="1"/>
        <rFont val="맑은 고딕"/>
        <family val="2"/>
        <charset val="129"/>
      </rPr>
      <t>날씨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정보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연동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맑은 고딕"/>
        <family val="2"/>
        <charset val="129"/>
      </rPr>
      <t>예비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후보</t>
    </r>
    <r>
      <rPr>
        <sz val="11"/>
        <color theme="1"/>
        <rFont val="Calibri"/>
        <family val="2"/>
        <charset val="1"/>
      </rPr>
      <t xml:space="preserve">) 
- </t>
    </r>
    <r>
      <rPr>
        <sz val="11"/>
        <color theme="1"/>
        <rFont val="맑은 고딕"/>
        <family val="2"/>
        <charset val="129"/>
      </rPr>
      <t>개발기간</t>
    </r>
    <r>
      <rPr>
        <sz val="11"/>
        <color theme="1"/>
        <rFont val="Calibri"/>
        <family val="2"/>
        <charset val="1"/>
      </rPr>
      <t xml:space="preserve"> 3</t>
    </r>
    <r>
      <rPr>
        <sz val="11"/>
        <color theme="1"/>
        <rFont val="맑은 고딕"/>
        <family val="2"/>
        <charset val="129"/>
      </rPr>
      <t>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완성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가능성을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최우선으로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판단</t>
    </r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</si>
  <si>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Arial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Arial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Arial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Arial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Arial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실현가능성(난이도가 낮을수록 높음)과 임팩트(사용자 체감 효과)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Arial"/>
        <family val="2"/>
      </rPr>
      <t xml:space="preserve"> ) ---</t>
    </r>
    <phoneticPr fontId="17" type="noConversion"/>
  </si>
  <si>
    <r>
      <t>FE(</t>
    </r>
    <r>
      <rPr>
        <sz val="10"/>
        <color rgb="FF222222"/>
        <rFont val="맑은 고딕"/>
        <family val="3"/>
        <charset val="129"/>
      </rPr>
      <t>화면</t>
    </r>
    <r>
      <rPr>
        <sz val="10"/>
        <color rgb="FF222222"/>
        <rFont val="Arial"/>
        <family val="2"/>
      </rPr>
      <t xml:space="preserve">) Vue.js 3(SPA: </t>
    </r>
    <r>
      <rPr>
        <sz val="10"/>
        <color rgb="FF222222"/>
        <rFont val="맑은 고딕"/>
        <family val="3"/>
        <charset val="129"/>
      </rPr>
      <t>새로고침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화면이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바뀌는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), BE(</t>
    </r>
    <r>
      <rPr>
        <sz val="10"/>
        <color rgb="FF222222"/>
        <rFont val="맑은 고딕"/>
        <family val="3"/>
        <charset val="129"/>
      </rPr>
      <t>서버</t>
    </r>
    <r>
      <rPr>
        <sz val="10"/>
        <color rgb="FF222222"/>
        <rFont val="Arial"/>
        <family val="2"/>
      </rPr>
      <t xml:space="preserve">) FastAPI+SQLAlchemy(DB </t>
    </r>
    <r>
      <rPr>
        <sz val="10"/>
        <color rgb="FF222222"/>
        <rFont val="맑은 고딕"/>
        <family val="3"/>
        <charset val="129"/>
      </rPr>
      <t>연결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도구</t>
    </r>
    <r>
      <rPr>
        <sz val="10"/>
        <color rgb="FF222222"/>
        <rFont val="Arial"/>
        <family val="2"/>
      </rPr>
      <t>)+SQLite(</t>
    </r>
    <r>
      <rPr>
        <sz val="10"/>
        <color rgb="FF222222"/>
        <rFont val="맑은 고딕"/>
        <family val="3"/>
        <charset val="129"/>
      </rPr>
      <t>가벼운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데이터베이스</t>
    </r>
    <r>
      <rPr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</si>
  <si>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납기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필수기능</t>
    </r>
    <r>
      <rPr>
        <sz val="10"/>
        <color rgb="FF222222"/>
        <rFont val="Arial"/>
        <family val="2"/>
      </rPr>
      <t xml:space="preserve"> 100% </t>
    </r>
    <r>
      <rPr>
        <sz val="10"/>
        <color rgb="FF222222"/>
        <rFont val="맑은 고딕"/>
        <family val="3"/>
        <charset val="129"/>
      </rPr>
      <t>구현</t>
    </r>
    <r>
      <rPr>
        <sz val="10"/>
        <color rgb="FF222222"/>
        <rFont val="Arial"/>
        <family val="2"/>
      </rPr>
      <t xml:space="preserve"> +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Arial"/>
        <family val="2"/>
      </rPr>
      <t xml:space="preserve"> 1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 +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 URL </t>
    </r>
    <r>
      <rPr>
        <sz val="10"/>
        <color rgb="FF222222"/>
        <rFont val="맑은 고딕"/>
        <family val="3"/>
        <charset val="129"/>
      </rPr>
      <t>정상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동작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</si>
</sst>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37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b/>
      <sz val="8"/>
      <color rgb="FFFFFFFF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0"/>
      <color rgb="FF222222"/>
      <name val="맑은 고딕"/>
      <family val="2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Noto Sans CJK SC"/>
      <family val="3"/>
      <charset val="129"/>
    </font>
    <font>
      <b/>
      <sz val="10"/>
      <color rgb="FF222222"/>
      <name val="맑은 고딕"/>
      <family val="2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Noto Sans CJK SC"/>
      <family val="3"/>
      <charset val="129"/>
    </font>
    <font>
      <b/>
      <sz val="18"/>
      <color rgb="FFFFFFFF"/>
      <name val="맑은 고딕"/>
      <family val="2"/>
      <charset val="129"/>
    </font>
    <font>
      <b/>
      <sz val="18"/>
      <color rgb="FFFFFFFF"/>
      <name val="맑은 고딕"/>
      <family val="3"/>
      <charset val="129"/>
    </font>
    <font>
      <b/>
      <sz val="18"/>
      <color rgb="FFFFFFFF"/>
      <name val="Arial"/>
      <family val="2"/>
    </font>
    <font>
      <sz val="9"/>
      <color rgb="FF222222"/>
      <name val="맑은 고딕"/>
      <family val="3"/>
      <charset val="129"/>
    </font>
    <font>
      <b/>
      <sz val="9"/>
      <color rgb="FF222222"/>
      <name val="Arial"/>
      <family val="2"/>
    </font>
    <font>
      <b/>
      <sz val="9"/>
      <color rgb="FF222222"/>
      <name val="맑은 고딕"/>
      <family val="3"/>
      <charset val="129"/>
    </font>
    <font>
      <sz val="9"/>
      <color rgb="FF222222"/>
      <name val="Noto Sans CJK SC"/>
      <family val="3"/>
      <charset val="129"/>
    </font>
    <font>
      <sz val="8"/>
      <color rgb="FF222222"/>
      <name val="맑은 고딕"/>
      <family val="3"/>
      <charset val="129"/>
    </font>
    <font>
      <b/>
      <sz val="10"/>
      <color rgb="FF222222"/>
      <name val="Segoe UI Symbol"/>
      <family val="1"/>
    </font>
    <font>
      <b/>
      <sz val="10"/>
      <color rgb="FF222222"/>
      <name val="Arial"/>
      <family val="1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8CBAD"/>
        <bgColor rgb="FFF5C6C6"/>
      </patternFill>
    </fill>
    <fill>
      <patternFill patternType="solid">
        <fgColor rgb="FFD9EAD3"/>
        <bgColor rgb="FFD0E0E3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76" fontId="15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14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4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1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9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5" fillId="0" borderId="2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0" fontId="35" fillId="0" borderId="3" xfId="0" applyFont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9E4B7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0" customWidth="1"/>
    <col min="4" max="8" width="4" customWidth="1"/>
  </cols>
  <sheetData>
    <row r="2" spans="2:3" ht="31.5" customHeight="1">
      <c r="B2" s="30" t="s">
        <v>214</v>
      </c>
      <c r="C2" s="30"/>
    </row>
    <row r="4" spans="2:3" ht="33.75" customHeight="1">
      <c r="B4" s="23" t="s">
        <v>213</v>
      </c>
      <c r="C4" s="22" t="s">
        <v>212</v>
      </c>
    </row>
    <row r="5" spans="2:3" ht="36.950000000000003" customHeight="1">
      <c r="B5" s="1" t="s">
        <v>0</v>
      </c>
      <c r="C5" s="22" t="s">
        <v>215</v>
      </c>
    </row>
    <row r="6" spans="2:3" ht="20.65" customHeight="1">
      <c r="B6" s="1" t="s">
        <v>1</v>
      </c>
      <c r="C6" s="3" t="s">
        <v>216</v>
      </c>
    </row>
    <row r="7" spans="2:3" ht="19.5" customHeight="1">
      <c r="B7" s="1" t="s">
        <v>2</v>
      </c>
      <c r="C7" s="3" t="s">
        <v>217</v>
      </c>
    </row>
    <row r="9" spans="2:3" ht="28.7" customHeight="1">
      <c r="B9" s="35" t="s">
        <v>219</v>
      </c>
      <c r="C9" s="36"/>
    </row>
    <row r="10" spans="2:3" ht="40.5">
      <c r="B10" s="4" t="s">
        <v>3</v>
      </c>
      <c r="C10" s="22" t="s">
        <v>218</v>
      </c>
    </row>
    <row r="11" spans="2:3" ht="40.5">
      <c r="B11" s="4" t="s">
        <v>4</v>
      </c>
      <c r="C11" s="22" t="s">
        <v>220</v>
      </c>
    </row>
    <row r="12" spans="2:3" ht="33.75" customHeight="1">
      <c r="B12" s="4" t="s">
        <v>5</v>
      </c>
      <c r="C12" s="2" t="s">
        <v>6</v>
      </c>
    </row>
    <row r="13" spans="2:3" ht="33.75" customHeight="1">
      <c r="B13" s="4" t="s">
        <v>7</v>
      </c>
      <c r="C13" s="3" t="s">
        <v>8</v>
      </c>
    </row>
    <row r="14" spans="2:3" ht="33.75" customHeight="1">
      <c r="B14" s="4" t="s">
        <v>9</v>
      </c>
      <c r="C14" s="2" t="s">
        <v>10</v>
      </c>
    </row>
    <row r="15" spans="2:3" ht="33.75" customHeight="1">
      <c r="B15" s="4" t="s">
        <v>11</v>
      </c>
      <c r="C15" s="22" t="s">
        <v>221</v>
      </c>
    </row>
    <row r="17" spans="2:3" ht="15" customHeight="1">
      <c r="B17" s="37" t="s">
        <v>12</v>
      </c>
      <c r="C17" s="38"/>
    </row>
    <row r="18" spans="2:3" ht="33.950000000000003" customHeight="1">
      <c r="B18" s="31" t="s">
        <v>222</v>
      </c>
      <c r="C18" s="32"/>
    </row>
    <row r="19" spans="2:3" ht="27.75" customHeight="1">
      <c r="B19" s="33" t="s">
        <v>14</v>
      </c>
      <c r="C19" s="34"/>
    </row>
    <row r="20" spans="2:3" ht="27.75" customHeight="1">
      <c r="B20" s="33" t="s">
        <v>15</v>
      </c>
      <c r="C20" s="34"/>
    </row>
  </sheetData>
  <mergeCells count="6">
    <mergeCell ref="B2:C2"/>
    <mergeCell ref="B18:C18"/>
    <mergeCell ref="B19:C19"/>
    <mergeCell ref="B20:C20"/>
    <mergeCell ref="B9:C9"/>
    <mergeCell ref="B17:C17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F13"/>
  <sheetViews>
    <sheetView showGridLines="0" zoomScale="115" zoomScaleNormal="115" workbookViewId="0">
      <selection activeCell="D6" sqref="D6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0.7109375" customWidth="1"/>
    <col min="5" max="6" width="30" customWidth="1"/>
    <col min="8" max="8" width="30.42578125" customWidth="1"/>
    <col min="9" max="9" width="98" customWidth="1"/>
  </cols>
  <sheetData>
    <row r="2" spans="2:6" ht="30" customHeight="1">
      <c r="B2" s="41" t="s">
        <v>16</v>
      </c>
      <c r="C2" s="42"/>
      <c r="D2" s="42"/>
      <c r="E2" s="42"/>
      <c r="F2" s="42"/>
    </row>
    <row r="4" spans="2:6" ht="19.5" customHeight="1">
      <c r="B4" s="6" t="s">
        <v>17</v>
      </c>
      <c r="C4" s="6" t="s">
        <v>18</v>
      </c>
      <c r="D4" s="6" t="s">
        <v>19</v>
      </c>
      <c r="E4" s="6" t="s">
        <v>20</v>
      </c>
      <c r="F4" s="7" t="s">
        <v>21</v>
      </c>
    </row>
    <row r="5" spans="2:6" ht="129.75" customHeight="1">
      <c r="B5" s="26" t="s">
        <v>237</v>
      </c>
      <c r="C5" s="9" t="s">
        <v>22</v>
      </c>
      <c r="D5" s="22" t="s">
        <v>233</v>
      </c>
      <c r="E5" s="28" t="s">
        <v>234</v>
      </c>
      <c r="F5" s="9" t="s">
        <v>23</v>
      </c>
    </row>
    <row r="6" spans="2:6" ht="129.75" customHeight="1">
      <c r="B6" s="26" t="s">
        <v>238</v>
      </c>
      <c r="C6" s="9" t="s">
        <v>24</v>
      </c>
      <c r="D6" s="22" t="s">
        <v>243</v>
      </c>
      <c r="E6" s="9" t="s">
        <v>25</v>
      </c>
      <c r="F6" s="9" t="s">
        <v>26</v>
      </c>
    </row>
    <row r="7" spans="2:6" ht="129.75" customHeight="1">
      <c r="B7" s="26" t="s">
        <v>27</v>
      </c>
      <c r="C7" s="5" t="s">
        <v>28</v>
      </c>
      <c r="D7" s="24" t="s">
        <v>240</v>
      </c>
      <c r="E7" s="5" t="s">
        <v>29</v>
      </c>
      <c r="F7" s="5" t="s">
        <v>30</v>
      </c>
    </row>
    <row r="8" spans="2:6" ht="129.75" customHeight="1">
      <c r="B8" s="27" t="s">
        <v>236</v>
      </c>
      <c r="C8" s="5" t="s">
        <v>31</v>
      </c>
      <c r="D8" s="22" t="s">
        <v>223</v>
      </c>
      <c r="E8" s="9" t="s">
        <v>32</v>
      </c>
      <c r="F8" s="5" t="s">
        <v>33</v>
      </c>
    </row>
    <row r="9" spans="2:6" ht="14.1" customHeight="1"/>
    <row r="10" spans="2:6" ht="15" customHeight="1">
      <c r="B10" s="43" t="s">
        <v>227</v>
      </c>
      <c r="C10" s="40"/>
      <c r="D10" s="40"/>
      <c r="E10" s="40"/>
      <c r="F10" s="36"/>
    </row>
    <row r="11" spans="2:6" ht="24" customHeight="1">
      <c r="B11" s="5" t="s">
        <v>13</v>
      </c>
      <c r="C11" s="39" t="s">
        <v>224</v>
      </c>
      <c r="D11" s="40"/>
      <c r="E11" s="40"/>
      <c r="F11" s="40"/>
    </row>
    <row r="12" spans="2:6" ht="24" customHeight="1">
      <c r="B12" s="5" t="s">
        <v>13</v>
      </c>
      <c r="C12" s="39" t="s">
        <v>225</v>
      </c>
      <c r="D12" s="40"/>
      <c r="E12" s="40"/>
      <c r="F12" s="40"/>
    </row>
    <row r="13" spans="2:6" ht="24" customHeight="1">
      <c r="B13" s="5" t="s">
        <v>13</v>
      </c>
      <c r="C13" s="39" t="s">
        <v>226</v>
      </c>
      <c r="D13" s="40"/>
      <c r="E13" s="40"/>
      <c r="F13" s="40"/>
    </row>
  </sheetData>
  <mergeCells count="5">
    <mergeCell ref="C13:F13"/>
    <mergeCell ref="C12:F12"/>
    <mergeCell ref="B2:F2"/>
    <mergeCell ref="C11:F11"/>
    <mergeCell ref="B10:F10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28090"/>
  </sheetPr>
  <dimension ref="B2:F15"/>
  <sheetViews>
    <sheetView showGridLines="0" zoomScaleNormal="100" workbookViewId="0">
      <selection activeCell="F15" sqref="F15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44" t="s">
        <v>34</v>
      </c>
      <c r="C2" s="42"/>
      <c r="D2" s="42"/>
      <c r="E2" s="42"/>
      <c r="F2" s="42"/>
    </row>
    <row r="3" spans="2:6" ht="28.35" customHeight="1">
      <c r="B3" s="45" t="s">
        <v>228</v>
      </c>
      <c r="C3" s="40"/>
      <c r="D3" s="40"/>
      <c r="E3" s="40"/>
      <c r="F3" s="36"/>
    </row>
    <row r="4" spans="2:6" ht="33.75" customHeight="1"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</row>
    <row r="6" spans="2:6" ht="45.75" customHeight="1">
      <c r="B6" s="5" t="s">
        <v>40</v>
      </c>
      <c r="C6" s="8" t="s">
        <v>41</v>
      </c>
      <c r="D6" s="3" t="s">
        <v>42</v>
      </c>
      <c r="E6" s="5" t="s">
        <v>43</v>
      </c>
      <c r="F6" s="22" t="s">
        <v>235</v>
      </c>
    </row>
    <row r="7" spans="2:6" ht="45.75" customHeight="1">
      <c r="B7" s="5" t="s">
        <v>40</v>
      </c>
      <c r="C7" s="8" t="s">
        <v>44</v>
      </c>
      <c r="D7" s="2" t="s">
        <v>45</v>
      </c>
      <c r="E7" s="5" t="s">
        <v>46</v>
      </c>
      <c r="F7" s="2" t="s">
        <v>47</v>
      </c>
    </row>
    <row r="8" spans="2:6" ht="45.75" customHeight="1">
      <c r="B8" s="5" t="s">
        <v>40</v>
      </c>
      <c r="C8" s="8" t="s">
        <v>48</v>
      </c>
      <c r="D8" s="3" t="s">
        <v>49</v>
      </c>
      <c r="E8" s="5" t="s">
        <v>50</v>
      </c>
      <c r="F8" s="2" t="s">
        <v>51</v>
      </c>
    </row>
    <row r="9" spans="2:6" ht="45.75" customHeight="1">
      <c r="B9" s="5" t="s">
        <v>40</v>
      </c>
      <c r="C9" s="8" t="s">
        <v>52</v>
      </c>
      <c r="D9" s="3" t="s">
        <v>244</v>
      </c>
      <c r="E9" s="5" t="s">
        <v>53</v>
      </c>
      <c r="F9" s="2" t="s">
        <v>54</v>
      </c>
    </row>
    <row r="10" spans="2:6" ht="45.75" customHeight="1">
      <c r="B10" s="5" t="s">
        <v>40</v>
      </c>
      <c r="C10" s="8" t="s">
        <v>55</v>
      </c>
      <c r="D10" s="3" t="s">
        <v>56</v>
      </c>
      <c r="E10" s="5" t="s">
        <v>57</v>
      </c>
      <c r="F10" s="2" t="s">
        <v>58</v>
      </c>
    </row>
    <row r="11" spans="2:6" ht="45.75" customHeight="1">
      <c r="B11" s="9" t="s">
        <v>59</v>
      </c>
      <c r="C11" s="8" t="s">
        <v>60</v>
      </c>
      <c r="D11" s="3" t="s">
        <v>61</v>
      </c>
      <c r="E11" s="5" t="s">
        <v>62</v>
      </c>
      <c r="F11" s="2" t="s">
        <v>63</v>
      </c>
    </row>
    <row r="12" spans="2:6" ht="45.75" customHeight="1">
      <c r="B12" s="9" t="s">
        <v>59</v>
      </c>
      <c r="C12" s="8" t="s">
        <v>64</v>
      </c>
      <c r="D12" s="3" t="s">
        <v>65</v>
      </c>
      <c r="E12" s="5" t="s">
        <v>66</v>
      </c>
      <c r="F12" s="3" t="s">
        <v>67</v>
      </c>
    </row>
    <row r="13" spans="2:6" ht="45.75" customHeight="1">
      <c r="B13" s="9" t="s">
        <v>59</v>
      </c>
      <c r="C13" s="8" t="s">
        <v>68</v>
      </c>
      <c r="D13" s="2" t="s">
        <v>69</v>
      </c>
      <c r="E13" s="5" t="s">
        <v>70</v>
      </c>
      <c r="F13" s="2" t="s">
        <v>71</v>
      </c>
    </row>
    <row r="14" spans="2:6" ht="45.75" customHeight="1">
      <c r="B14" s="5" t="s">
        <v>72</v>
      </c>
      <c r="C14" s="8" t="s">
        <v>73</v>
      </c>
      <c r="D14" s="2" t="s">
        <v>74</v>
      </c>
      <c r="E14" s="5" t="s">
        <v>75</v>
      </c>
      <c r="F14" s="3" t="s">
        <v>76</v>
      </c>
    </row>
    <row r="15" spans="2:6" ht="45.75" customHeight="1">
      <c r="B15" s="5" t="s">
        <v>77</v>
      </c>
      <c r="C15" s="8" t="s">
        <v>78</v>
      </c>
      <c r="D15" s="2" t="s">
        <v>79</v>
      </c>
      <c r="E15" s="5" t="s">
        <v>80</v>
      </c>
      <c r="F15" s="2" t="s">
        <v>81</v>
      </c>
    </row>
  </sheetData>
  <mergeCells count="2">
    <mergeCell ref="B2:F2"/>
    <mergeCell ref="B3:F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28090"/>
  </sheetPr>
  <dimension ref="B2:H14"/>
  <sheetViews>
    <sheetView showGridLines="0" zoomScaleNormal="100" workbookViewId="0">
      <selection activeCell="C14" sqref="C14:H14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41" t="s">
        <v>82</v>
      </c>
      <c r="C2" s="42"/>
      <c r="D2" s="42"/>
      <c r="E2" s="42"/>
      <c r="F2" s="42"/>
      <c r="G2" s="42"/>
      <c r="H2" s="42"/>
    </row>
    <row r="3" spans="2:8" ht="63.4" customHeight="1">
      <c r="B3" s="46" t="s">
        <v>229</v>
      </c>
      <c r="C3" s="40"/>
      <c r="D3" s="40"/>
      <c r="E3" s="40"/>
      <c r="F3" s="40"/>
      <c r="G3" s="40"/>
      <c r="H3" s="36"/>
    </row>
    <row r="4" spans="2:8" ht="31.5" customHeight="1">
      <c r="B4" s="10" t="s">
        <v>83</v>
      </c>
      <c r="C4" s="10" t="s">
        <v>84</v>
      </c>
      <c r="D4" s="10" t="s">
        <v>85</v>
      </c>
      <c r="E4" s="10" t="s">
        <v>86</v>
      </c>
      <c r="F4" s="10" t="s">
        <v>87</v>
      </c>
      <c r="G4" s="10" t="s">
        <v>88</v>
      </c>
      <c r="H4" s="10" t="s">
        <v>89</v>
      </c>
    </row>
    <row r="5" spans="2:8" ht="33.75" customHeight="1">
      <c r="B5" s="8" t="s">
        <v>90</v>
      </c>
      <c r="C5" s="3" t="s">
        <v>91</v>
      </c>
      <c r="D5" s="9">
        <v>3</v>
      </c>
      <c r="E5" s="9">
        <v>5</v>
      </c>
      <c r="F5" s="9">
        <v>5</v>
      </c>
      <c r="G5" s="5">
        <f t="shared" ref="G5:G12" si="0">IF(OR(E5="",F5=""),"",E5*F5*2)</f>
        <v>50</v>
      </c>
      <c r="H5" s="9" t="s">
        <v>92</v>
      </c>
    </row>
    <row r="6" spans="2:8" ht="33.75" customHeight="1">
      <c r="B6" s="8" t="s">
        <v>93</v>
      </c>
      <c r="C6" s="3" t="s">
        <v>94</v>
      </c>
      <c r="D6" s="9">
        <v>3</v>
      </c>
      <c r="E6" s="9">
        <v>3</v>
      </c>
      <c r="F6" s="9">
        <v>3</v>
      </c>
      <c r="G6" s="5">
        <f t="shared" si="0"/>
        <v>18</v>
      </c>
      <c r="H6" s="9" t="s">
        <v>95</v>
      </c>
    </row>
    <row r="7" spans="2:8" ht="33.75" customHeight="1">
      <c r="B7" s="8" t="s">
        <v>96</v>
      </c>
      <c r="C7" s="3" t="s">
        <v>97</v>
      </c>
      <c r="D7" s="9">
        <v>2</v>
      </c>
      <c r="E7" s="9">
        <v>4</v>
      </c>
      <c r="F7" s="9">
        <v>3</v>
      </c>
      <c r="G7" s="5">
        <f t="shared" si="0"/>
        <v>24</v>
      </c>
      <c r="H7" s="9" t="s">
        <v>98</v>
      </c>
    </row>
    <row r="8" spans="2:8" ht="33.75" customHeight="1">
      <c r="B8" s="8" t="s">
        <v>99</v>
      </c>
      <c r="C8" s="2" t="s">
        <v>100</v>
      </c>
      <c r="D8" s="9">
        <v>4</v>
      </c>
      <c r="E8" s="9">
        <v>2</v>
      </c>
      <c r="F8" s="9">
        <v>3</v>
      </c>
      <c r="G8" s="5">
        <f t="shared" si="0"/>
        <v>12</v>
      </c>
      <c r="H8" s="9" t="s">
        <v>95</v>
      </c>
    </row>
    <row r="9" spans="2:8" ht="33.75" customHeight="1">
      <c r="B9" s="8" t="s">
        <v>101</v>
      </c>
      <c r="C9" s="2" t="s">
        <v>102</v>
      </c>
      <c r="D9" s="9">
        <v>2</v>
      </c>
      <c r="E9" s="9">
        <v>5</v>
      </c>
      <c r="F9" s="9">
        <v>2</v>
      </c>
      <c r="G9" s="5">
        <f t="shared" si="0"/>
        <v>20</v>
      </c>
      <c r="H9" s="9" t="s">
        <v>98</v>
      </c>
    </row>
    <row r="10" spans="2:8" ht="33.75" customHeight="1">
      <c r="B10" s="8" t="s">
        <v>103</v>
      </c>
      <c r="C10" s="3" t="s">
        <v>104</v>
      </c>
      <c r="D10" s="9">
        <v>4</v>
      </c>
      <c r="E10" s="9">
        <v>2</v>
      </c>
      <c r="F10" s="9">
        <v>4</v>
      </c>
      <c r="G10" s="5">
        <f t="shared" si="0"/>
        <v>16</v>
      </c>
      <c r="H10" s="9" t="s">
        <v>95</v>
      </c>
    </row>
    <row r="11" spans="2:8" ht="33.75" customHeight="1">
      <c r="B11" s="8" t="s">
        <v>105</v>
      </c>
      <c r="C11" s="3" t="s">
        <v>106</v>
      </c>
      <c r="D11" s="9">
        <v>3</v>
      </c>
      <c r="E11" s="9">
        <v>3</v>
      </c>
      <c r="F11" s="9">
        <v>2</v>
      </c>
      <c r="G11" s="5">
        <f t="shared" si="0"/>
        <v>12</v>
      </c>
      <c r="H11" s="9" t="s">
        <v>95</v>
      </c>
    </row>
    <row r="12" spans="2:8" ht="33.75" customHeight="1">
      <c r="B12" s="8" t="s">
        <v>107</v>
      </c>
      <c r="C12" s="2" t="s">
        <v>108</v>
      </c>
      <c r="D12" s="9">
        <v>2</v>
      </c>
      <c r="E12" s="9">
        <v>4</v>
      </c>
      <c r="F12" s="9">
        <v>2</v>
      </c>
      <c r="G12" s="5">
        <f t="shared" si="0"/>
        <v>16</v>
      </c>
      <c r="H12" s="9" t="s">
        <v>95</v>
      </c>
    </row>
    <row r="14" spans="2:8" ht="118.7" customHeight="1">
      <c r="B14" s="29" t="s">
        <v>241</v>
      </c>
      <c r="C14" s="47" t="s">
        <v>242</v>
      </c>
      <c r="D14" s="48"/>
      <c r="E14" s="48"/>
      <c r="F14" s="48"/>
      <c r="G14" s="48"/>
      <c r="H14" s="49"/>
    </row>
  </sheetData>
  <mergeCells count="3">
    <mergeCell ref="B3:H3"/>
    <mergeCell ref="B2:H2"/>
    <mergeCell ref="C14:H14"/>
  </mergeCells>
  <phoneticPr fontId="17" type="noConversion"/>
  <conditionalFormatting sqref="G5:G12">
    <cfRule type="expression" dxfId="1" priority="2">
      <formula>AND(G5&lt;&gt;"",G5&gt;=32)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28090"/>
  </sheetPr>
  <dimension ref="B2:C24"/>
  <sheetViews>
    <sheetView showGridLines="0" zoomScaleNormal="100" workbookViewId="0">
      <selection activeCell="B23" sqref="B23:C23"/>
    </sheetView>
  </sheetViews>
  <sheetFormatPr defaultColWidth="8.7109375" defaultRowHeight="15"/>
  <cols>
    <col min="1" max="1" width="4" customWidth="1"/>
    <col min="2" max="2" width="16" customWidth="1"/>
    <col min="3" max="3" width="91.5703125" customWidth="1"/>
    <col min="4" max="4" width="4" customWidth="1"/>
  </cols>
  <sheetData>
    <row r="2" spans="2:3" ht="30" customHeight="1">
      <c r="B2" s="44" t="s">
        <v>109</v>
      </c>
      <c r="C2" s="42"/>
    </row>
    <row r="3" spans="2:3" ht="18" customHeight="1">
      <c r="B3" s="45" t="s">
        <v>110</v>
      </c>
      <c r="C3" s="36"/>
    </row>
    <row r="4" spans="2:3" ht="30" customHeight="1">
      <c r="B4" s="1" t="s">
        <v>111</v>
      </c>
      <c r="C4" s="22" t="s">
        <v>230</v>
      </c>
    </row>
    <row r="5" spans="2:3" ht="30" customHeight="1">
      <c r="B5" s="1" t="s">
        <v>112</v>
      </c>
      <c r="C5" s="2" t="s">
        <v>113</v>
      </c>
    </row>
    <row r="6" spans="2:3" ht="30" customHeight="1">
      <c r="B6" s="1" t="s">
        <v>114</v>
      </c>
      <c r="C6" s="2" t="s">
        <v>115</v>
      </c>
    </row>
    <row r="7" spans="2:3" ht="30" customHeight="1">
      <c r="B7" s="1" t="s">
        <v>116</v>
      </c>
      <c r="C7" s="22" t="s">
        <v>245</v>
      </c>
    </row>
    <row r="9" spans="2:3" ht="15" customHeight="1">
      <c r="B9" s="54" t="s">
        <v>117</v>
      </c>
      <c r="C9" s="55"/>
    </row>
    <row r="10" spans="2:3" ht="25.5" customHeight="1">
      <c r="B10" s="33" t="s">
        <v>118</v>
      </c>
      <c r="C10" s="34"/>
    </row>
    <row r="11" spans="2:3" ht="25.5" customHeight="1">
      <c r="B11" s="33" t="s">
        <v>119</v>
      </c>
      <c r="C11" s="34"/>
    </row>
    <row r="12" spans="2:3" ht="25.5" customHeight="1">
      <c r="B12" s="31" t="s">
        <v>231</v>
      </c>
      <c r="C12" s="32"/>
    </row>
    <row r="13" spans="2:3" ht="25.5" customHeight="1">
      <c r="B13" s="31" t="s">
        <v>120</v>
      </c>
      <c r="C13" s="32"/>
    </row>
    <row r="14" spans="2:3" ht="25.5" customHeight="1">
      <c r="B14" s="33" t="s">
        <v>121</v>
      </c>
      <c r="C14" s="34"/>
    </row>
    <row r="16" spans="2:3" ht="15" customHeight="1">
      <c r="B16" s="52" t="s">
        <v>122</v>
      </c>
      <c r="C16" s="53"/>
    </row>
    <row r="17" spans="2:3" ht="25.5" customHeight="1">
      <c r="B17" s="33" t="s">
        <v>123</v>
      </c>
      <c r="C17" s="34"/>
    </row>
    <row r="18" spans="2:3" ht="25.5" customHeight="1">
      <c r="B18" s="33" t="s">
        <v>124</v>
      </c>
      <c r="C18" s="34"/>
    </row>
    <row r="19" spans="2:3" ht="25.5" customHeight="1">
      <c r="B19" s="33" t="s">
        <v>125</v>
      </c>
      <c r="C19" s="34"/>
    </row>
    <row r="21" spans="2:3" ht="15" customHeight="1">
      <c r="B21" s="50" t="s">
        <v>126</v>
      </c>
      <c r="C21" s="51"/>
    </row>
    <row r="22" spans="2:3" ht="25.5" customHeight="1">
      <c r="B22" s="33" t="s">
        <v>127</v>
      </c>
      <c r="C22" s="34"/>
    </row>
    <row r="23" spans="2:3" ht="25.5" customHeight="1">
      <c r="B23" s="33" t="s">
        <v>128</v>
      </c>
      <c r="C23" s="34"/>
    </row>
    <row r="24" spans="2:3" ht="25.5" customHeight="1">
      <c r="B24" s="39" t="s">
        <v>239</v>
      </c>
      <c r="C24" s="34"/>
    </row>
  </sheetData>
  <mergeCells count="16">
    <mergeCell ref="B24:C24"/>
    <mergeCell ref="B13:C13"/>
    <mergeCell ref="B14:C14"/>
    <mergeCell ref="B17:C17"/>
    <mergeCell ref="B18:C18"/>
    <mergeCell ref="B19:C19"/>
    <mergeCell ref="B21:C21"/>
    <mergeCell ref="B16:C16"/>
    <mergeCell ref="B22:C22"/>
    <mergeCell ref="B23:C23"/>
    <mergeCell ref="B3:C3"/>
    <mergeCell ref="B2:C2"/>
    <mergeCell ref="B10:C10"/>
    <mergeCell ref="B11:C11"/>
    <mergeCell ref="B12:C12"/>
    <mergeCell ref="B9:C9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28090"/>
  </sheetPr>
  <dimension ref="B2:M28"/>
  <sheetViews>
    <sheetView showGridLines="0" tabSelected="1" zoomScale="85" zoomScaleNormal="85"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C17" sqref="C17"/>
    </sheetView>
  </sheetViews>
  <sheetFormatPr defaultColWidth="8.7109375" defaultRowHeight="15"/>
  <cols>
    <col min="1" max="1" width="4" customWidth="1"/>
    <col min="2" max="2" width="10" customWidth="1"/>
    <col min="3" max="3" width="10.140625" customWidth="1"/>
    <col min="4" max="4" width="25.5703125" customWidth="1"/>
    <col min="5" max="6" width="9" customWidth="1"/>
    <col min="7" max="7" width="7" customWidth="1"/>
    <col min="8" max="9" width="8" customWidth="1"/>
    <col min="10" max="10" width="6.42578125" customWidth="1"/>
    <col min="11" max="11" width="24.140625" customWidth="1"/>
    <col min="12" max="12" width="28.42578125" customWidth="1"/>
    <col min="13" max="13" width="23.5703125" customWidth="1"/>
  </cols>
  <sheetData>
    <row r="2" spans="2:13" ht="27.75" customHeight="1">
      <c r="B2" s="59" t="s">
        <v>129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2:13" ht="69" customHeight="1">
      <c r="B3" s="56" t="s">
        <v>232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8"/>
    </row>
    <row r="4" spans="2:13" ht="25.5" customHeight="1">
      <c r="B4" s="11" t="s">
        <v>130</v>
      </c>
      <c r="C4" s="10" t="s">
        <v>131</v>
      </c>
      <c r="D4" s="10" t="s">
        <v>132</v>
      </c>
      <c r="E4" s="10" t="s">
        <v>133</v>
      </c>
      <c r="F4" s="10" t="s">
        <v>134</v>
      </c>
      <c r="G4" s="10" t="s">
        <v>135</v>
      </c>
      <c r="H4" s="10" t="s">
        <v>136</v>
      </c>
      <c r="I4" s="10" t="s">
        <v>137</v>
      </c>
      <c r="J4" s="10" t="s">
        <v>138</v>
      </c>
      <c r="K4" s="12">
        <v>1</v>
      </c>
      <c r="L4" s="12">
        <v>2</v>
      </c>
      <c r="M4" s="12">
        <v>3</v>
      </c>
    </row>
    <row r="5" spans="2:13" ht="42" customHeight="1">
      <c r="B5" s="9">
        <v>1</v>
      </c>
      <c r="C5" s="13" t="s">
        <v>139</v>
      </c>
      <c r="D5" s="2" t="s">
        <v>140</v>
      </c>
      <c r="E5" s="9" t="s">
        <v>141</v>
      </c>
      <c r="F5" s="25">
        <v>1</v>
      </c>
      <c r="G5" s="25">
        <v>1</v>
      </c>
      <c r="H5" s="9">
        <f t="shared" ref="H5:H18" si="0">G5-F5+1</f>
        <v>1</v>
      </c>
      <c r="I5" s="9">
        <v>0</v>
      </c>
      <c r="J5" s="9" t="s">
        <v>142</v>
      </c>
      <c r="K5" s="3"/>
      <c r="L5" s="3"/>
      <c r="M5" s="3"/>
    </row>
    <row r="6" spans="2:13" ht="42" customHeight="1">
      <c r="B6" s="9">
        <v>2</v>
      </c>
      <c r="C6" s="13" t="s">
        <v>139</v>
      </c>
      <c r="D6" s="2" t="s">
        <v>143</v>
      </c>
      <c r="E6" s="9" t="s">
        <v>144</v>
      </c>
      <c r="F6" s="25">
        <v>1</v>
      </c>
      <c r="G6" s="25">
        <v>1</v>
      </c>
      <c r="H6" s="9">
        <f t="shared" si="0"/>
        <v>1</v>
      </c>
      <c r="I6" s="9">
        <v>0</v>
      </c>
      <c r="J6" s="9" t="s">
        <v>142</v>
      </c>
      <c r="K6" s="3"/>
      <c r="L6" s="3"/>
      <c r="M6" s="3"/>
    </row>
    <row r="7" spans="2:13" ht="42" customHeight="1">
      <c r="B7" s="9">
        <v>3</v>
      </c>
      <c r="C7" s="14" t="s">
        <v>145</v>
      </c>
      <c r="D7" s="3" t="s">
        <v>146</v>
      </c>
      <c r="E7" s="5" t="s">
        <v>147</v>
      </c>
      <c r="F7" s="25">
        <v>1</v>
      </c>
      <c r="G7" s="25">
        <v>1</v>
      </c>
      <c r="H7" s="9">
        <f t="shared" si="0"/>
        <v>1</v>
      </c>
      <c r="I7" s="9">
        <v>0</v>
      </c>
      <c r="J7" s="9" t="s">
        <v>142</v>
      </c>
      <c r="K7" s="3"/>
      <c r="L7" s="3"/>
      <c r="M7" s="3"/>
    </row>
    <row r="8" spans="2:13" ht="42" customHeight="1">
      <c r="B8" s="9">
        <v>4</v>
      </c>
      <c r="C8" s="14" t="s">
        <v>145</v>
      </c>
      <c r="D8" s="3" t="s">
        <v>148</v>
      </c>
      <c r="E8" s="5" t="s">
        <v>147</v>
      </c>
      <c r="F8" s="25">
        <v>1</v>
      </c>
      <c r="G8" s="25">
        <v>1</v>
      </c>
      <c r="H8" s="9">
        <f t="shared" si="0"/>
        <v>1</v>
      </c>
      <c r="I8" s="9">
        <v>0</v>
      </c>
      <c r="J8" s="9" t="s">
        <v>142</v>
      </c>
      <c r="K8" s="3"/>
      <c r="L8" s="3"/>
      <c r="M8" s="3"/>
    </row>
    <row r="9" spans="2:13" ht="42" customHeight="1">
      <c r="B9" s="9">
        <v>5</v>
      </c>
      <c r="C9" s="15" t="s">
        <v>149</v>
      </c>
      <c r="D9" s="3" t="s">
        <v>150</v>
      </c>
      <c r="E9" s="5" t="s">
        <v>151</v>
      </c>
      <c r="F9" s="25">
        <v>2</v>
      </c>
      <c r="G9" s="25">
        <v>2</v>
      </c>
      <c r="H9" s="9">
        <f t="shared" si="0"/>
        <v>1</v>
      </c>
      <c r="I9" s="9">
        <v>0</v>
      </c>
      <c r="J9" s="9" t="s">
        <v>142</v>
      </c>
      <c r="K9" s="3"/>
      <c r="L9" s="3"/>
      <c r="M9" s="3"/>
    </row>
    <row r="10" spans="2:13" ht="42" customHeight="1">
      <c r="B10" s="9">
        <v>6</v>
      </c>
      <c r="C10" s="15" t="s">
        <v>149</v>
      </c>
      <c r="D10" s="3" t="s">
        <v>152</v>
      </c>
      <c r="E10" s="5" t="s">
        <v>147</v>
      </c>
      <c r="F10" s="25">
        <v>2</v>
      </c>
      <c r="G10" s="25">
        <v>2</v>
      </c>
      <c r="H10" s="9">
        <f t="shared" si="0"/>
        <v>1</v>
      </c>
      <c r="I10" s="9">
        <v>0</v>
      </c>
      <c r="J10" s="9" t="s">
        <v>142</v>
      </c>
      <c r="K10" s="3"/>
      <c r="L10" s="3"/>
      <c r="M10" s="3"/>
    </row>
    <row r="11" spans="2:13" ht="42" customHeight="1">
      <c r="B11" s="9">
        <v>7</v>
      </c>
      <c r="C11" s="15" t="s">
        <v>149</v>
      </c>
      <c r="D11" s="3" t="s">
        <v>153</v>
      </c>
      <c r="E11" s="5" t="s">
        <v>151</v>
      </c>
      <c r="F11" s="25">
        <v>2</v>
      </c>
      <c r="G11" s="25">
        <v>2</v>
      </c>
      <c r="H11" s="9">
        <f t="shared" si="0"/>
        <v>1</v>
      </c>
      <c r="I11" s="9">
        <v>0</v>
      </c>
      <c r="J11" s="9" t="s">
        <v>142</v>
      </c>
      <c r="K11" s="3"/>
      <c r="L11" s="3"/>
      <c r="M11" s="3"/>
    </row>
    <row r="12" spans="2:13" ht="42" customHeight="1">
      <c r="B12" s="9">
        <v>8</v>
      </c>
      <c r="C12" s="15" t="s">
        <v>149</v>
      </c>
      <c r="D12" s="2" t="s">
        <v>154</v>
      </c>
      <c r="E12" s="5" t="s">
        <v>147</v>
      </c>
      <c r="F12" s="25">
        <v>2</v>
      </c>
      <c r="G12" s="25">
        <v>2</v>
      </c>
      <c r="H12" s="9">
        <f t="shared" si="0"/>
        <v>1</v>
      </c>
      <c r="I12" s="9">
        <v>0</v>
      </c>
      <c r="J12" s="9" t="s">
        <v>142</v>
      </c>
      <c r="K12" s="3"/>
      <c r="L12" s="3"/>
      <c r="M12" s="3"/>
    </row>
    <row r="13" spans="2:13" ht="42" customHeight="1">
      <c r="B13" s="9">
        <v>9</v>
      </c>
      <c r="C13" s="15" t="s">
        <v>149</v>
      </c>
      <c r="D13" s="2" t="s">
        <v>155</v>
      </c>
      <c r="E13" s="5" t="s">
        <v>151</v>
      </c>
      <c r="F13" s="25">
        <v>2</v>
      </c>
      <c r="G13" s="25">
        <v>2</v>
      </c>
      <c r="H13" s="9">
        <f t="shared" si="0"/>
        <v>1</v>
      </c>
      <c r="I13" s="9">
        <v>0</v>
      </c>
      <c r="J13" s="9" t="s">
        <v>142</v>
      </c>
      <c r="K13" s="3"/>
      <c r="L13" s="3"/>
      <c r="M13" s="3"/>
    </row>
    <row r="14" spans="2:13" ht="42" customHeight="1">
      <c r="B14" s="9">
        <v>10</v>
      </c>
      <c r="C14" s="15" t="s">
        <v>149</v>
      </c>
      <c r="D14" s="2" t="s">
        <v>156</v>
      </c>
      <c r="E14" s="5" t="s">
        <v>157</v>
      </c>
      <c r="F14" s="25">
        <v>2</v>
      </c>
      <c r="G14" s="25">
        <v>2</v>
      </c>
      <c r="H14" s="9">
        <f t="shared" si="0"/>
        <v>1</v>
      </c>
      <c r="I14" s="9">
        <v>0</v>
      </c>
      <c r="J14" s="9" t="s">
        <v>142</v>
      </c>
      <c r="K14" s="3"/>
      <c r="L14" s="3"/>
      <c r="M14" s="3"/>
    </row>
    <row r="15" spans="2:13" ht="42" customHeight="1">
      <c r="B15" s="9">
        <v>11</v>
      </c>
      <c r="C15" s="16" t="s">
        <v>158</v>
      </c>
      <c r="D15" s="3" t="s">
        <v>159</v>
      </c>
      <c r="E15" s="5" t="s">
        <v>147</v>
      </c>
      <c r="F15" s="25">
        <v>3</v>
      </c>
      <c r="G15" s="25">
        <v>3</v>
      </c>
      <c r="H15" s="9">
        <f t="shared" si="0"/>
        <v>1</v>
      </c>
      <c r="I15" s="9">
        <v>0</v>
      </c>
      <c r="J15" s="9" t="s">
        <v>142</v>
      </c>
      <c r="K15" s="3"/>
      <c r="L15" s="3"/>
      <c r="M15" s="3"/>
    </row>
    <row r="16" spans="2:13" ht="42" customHeight="1">
      <c r="B16" s="9">
        <v>12</v>
      </c>
      <c r="C16" s="17" t="s">
        <v>160</v>
      </c>
      <c r="D16" s="2" t="s">
        <v>161</v>
      </c>
      <c r="E16" s="9" t="s">
        <v>141</v>
      </c>
      <c r="F16" s="25">
        <v>3</v>
      </c>
      <c r="G16" s="25">
        <v>3</v>
      </c>
      <c r="H16" s="9">
        <f t="shared" si="0"/>
        <v>1</v>
      </c>
      <c r="I16" s="9">
        <v>0</v>
      </c>
      <c r="J16" s="9" t="s">
        <v>142</v>
      </c>
      <c r="K16" s="3"/>
      <c r="L16" s="3"/>
      <c r="M16" s="3"/>
    </row>
    <row r="17" spans="2:13" ht="42" customHeight="1">
      <c r="B17" s="9">
        <v>13</v>
      </c>
      <c r="C17" s="18" t="s">
        <v>162</v>
      </c>
      <c r="D17" s="2" t="s">
        <v>163</v>
      </c>
      <c r="E17" s="9" t="s">
        <v>144</v>
      </c>
      <c r="F17" s="25">
        <v>3</v>
      </c>
      <c r="G17" s="25">
        <v>3</v>
      </c>
      <c r="H17" s="9">
        <f t="shared" si="0"/>
        <v>1</v>
      </c>
      <c r="I17" s="9">
        <v>0</v>
      </c>
      <c r="J17" s="9" t="s">
        <v>142</v>
      </c>
      <c r="K17" s="3"/>
      <c r="L17" s="3"/>
      <c r="M17" s="3"/>
    </row>
    <row r="18" spans="2:13" ht="42" customHeight="1">
      <c r="B18" s="9">
        <v>14</v>
      </c>
      <c r="C18" s="19" t="s">
        <v>164</v>
      </c>
      <c r="D18" s="2" t="s">
        <v>165</v>
      </c>
      <c r="E18" s="9" t="s">
        <v>141</v>
      </c>
      <c r="F18" s="25">
        <v>3</v>
      </c>
      <c r="G18" s="25">
        <v>3</v>
      </c>
      <c r="H18" s="9">
        <f t="shared" si="0"/>
        <v>1</v>
      </c>
      <c r="I18" s="9">
        <v>0</v>
      </c>
      <c r="J18" s="9" t="s">
        <v>142</v>
      </c>
      <c r="K18" s="3"/>
      <c r="L18" s="3"/>
      <c r="M18" s="3"/>
    </row>
    <row r="20" spans="2:13" ht="15" customHeight="1">
      <c r="B20" s="20" t="s">
        <v>166</v>
      </c>
    </row>
    <row r="21" spans="2:13" ht="15" customHeight="1">
      <c r="B21" s="13" t="s">
        <v>139</v>
      </c>
    </row>
    <row r="22" spans="2:13" ht="15" customHeight="1">
      <c r="B22" s="14" t="s">
        <v>145</v>
      </c>
    </row>
    <row r="23" spans="2:13" ht="15" customHeight="1">
      <c r="B23" s="15" t="s">
        <v>149</v>
      </c>
    </row>
    <row r="24" spans="2:13" ht="15" customHeight="1">
      <c r="B24" s="16" t="s">
        <v>158</v>
      </c>
    </row>
    <row r="25" spans="2:13" ht="15" customHeight="1">
      <c r="B25" s="17" t="s">
        <v>160</v>
      </c>
    </row>
    <row r="26" spans="2:13" ht="15" customHeight="1">
      <c r="B26" s="18" t="s">
        <v>162</v>
      </c>
    </row>
    <row r="27" spans="2:13" ht="15" customHeight="1">
      <c r="B27" s="19" t="s">
        <v>164</v>
      </c>
    </row>
    <row r="28" spans="2:13" ht="15" customHeight="1">
      <c r="B28" s="21" t="s">
        <v>167</v>
      </c>
    </row>
  </sheetData>
  <mergeCells count="2">
    <mergeCell ref="B3:M3"/>
    <mergeCell ref="B2:M2"/>
  </mergeCells>
  <phoneticPr fontId="17" type="noConversion"/>
  <conditionalFormatting sqref="K5:M18">
    <cfRule type="expression" dxfId="0" priority="2">
      <formula>AND(K$4&gt;=$F5,K$4&lt;=$G5)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zoomScaleNormal="100" workbookViewId="0">
      <selection activeCell="H22" sqref="H22"/>
    </sheetView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41" t="s">
        <v>168</v>
      </c>
      <c r="C2" s="42"/>
    </row>
    <row r="3" spans="2:3" ht="19.5" customHeight="1">
      <c r="B3" s="61" t="s">
        <v>169</v>
      </c>
      <c r="C3" s="36"/>
    </row>
    <row r="5" spans="2:3" ht="19.5" customHeight="1">
      <c r="B5" s="6" t="s">
        <v>170</v>
      </c>
      <c r="C5" s="6" t="s">
        <v>171</v>
      </c>
    </row>
    <row r="6" spans="2:3" ht="30" customHeight="1">
      <c r="B6" s="4" t="s">
        <v>172</v>
      </c>
      <c r="C6" s="2" t="s">
        <v>173</v>
      </c>
    </row>
    <row r="7" spans="2:3" ht="30" customHeight="1">
      <c r="B7" s="4" t="s">
        <v>174</v>
      </c>
      <c r="C7" s="2" t="s">
        <v>175</v>
      </c>
    </row>
    <row r="8" spans="2:3" ht="30" customHeight="1">
      <c r="B8" s="4" t="s">
        <v>176</v>
      </c>
      <c r="C8" s="2" t="s">
        <v>177</v>
      </c>
    </row>
    <row r="9" spans="2:3" ht="30" customHeight="1">
      <c r="B9" s="1" t="s">
        <v>178</v>
      </c>
      <c r="C9" s="2" t="s">
        <v>179</v>
      </c>
    </row>
    <row r="10" spans="2:3" ht="30" customHeight="1">
      <c r="B10" s="4" t="s">
        <v>180</v>
      </c>
      <c r="C10" s="2" t="s">
        <v>181</v>
      </c>
    </row>
    <row r="11" spans="2:3" ht="30" customHeight="1">
      <c r="B11" s="4" t="s">
        <v>182</v>
      </c>
      <c r="C11" s="2" t="s">
        <v>183</v>
      </c>
    </row>
    <row r="12" spans="2:3" ht="30" customHeight="1">
      <c r="B12" s="4" t="s">
        <v>184</v>
      </c>
      <c r="C12" s="2" t="s">
        <v>185</v>
      </c>
    </row>
    <row r="13" spans="2:3" ht="30" customHeight="1">
      <c r="B13" s="1" t="s">
        <v>186</v>
      </c>
      <c r="C13" s="2" t="s">
        <v>187</v>
      </c>
    </row>
    <row r="14" spans="2:3" ht="30" customHeight="1">
      <c r="B14" s="4" t="s">
        <v>188</v>
      </c>
      <c r="C14" s="2" t="s">
        <v>189</v>
      </c>
    </row>
    <row r="15" spans="2:3" ht="30" customHeight="1">
      <c r="B15" s="1" t="s">
        <v>190</v>
      </c>
      <c r="C15" s="2" t="s">
        <v>191</v>
      </c>
    </row>
    <row r="16" spans="2:3" ht="30" customHeight="1">
      <c r="B16" s="1" t="s">
        <v>192</v>
      </c>
      <c r="C16" s="2" t="s">
        <v>193</v>
      </c>
    </row>
    <row r="17" spans="2:3" ht="30" customHeight="1">
      <c r="B17" s="4" t="s">
        <v>194</v>
      </c>
      <c r="C17" s="2" t="s">
        <v>195</v>
      </c>
    </row>
    <row r="18" spans="2:3" ht="30" customHeight="1">
      <c r="B18" s="1" t="s">
        <v>196</v>
      </c>
      <c r="C18" s="2" t="s">
        <v>197</v>
      </c>
    </row>
    <row r="19" spans="2:3" ht="30" customHeight="1">
      <c r="B19" s="1" t="s">
        <v>198</v>
      </c>
      <c r="C19" s="2" t="s">
        <v>199</v>
      </c>
    </row>
    <row r="20" spans="2:3" ht="30" customHeight="1">
      <c r="B20" s="1" t="s">
        <v>200</v>
      </c>
      <c r="C20" s="2" t="s">
        <v>201</v>
      </c>
    </row>
    <row r="21" spans="2:3" ht="30" customHeight="1">
      <c r="B21" s="1" t="s">
        <v>202</v>
      </c>
      <c r="C21" s="3" t="s">
        <v>203</v>
      </c>
    </row>
    <row r="22" spans="2:3" ht="30" customHeight="1">
      <c r="B22" s="1" t="s">
        <v>204</v>
      </c>
      <c r="C22" s="2" t="s">
        <v>205</v>
      </c>
    </row>
    <row r="23" spans="2:3" ht="30" customHeight="1">
      <c r="B23" s="4" t="s">
        <v>206</v>
      </c>
      <c r="C23" s="2" t="s">
        <v>207</v>
      </c>
    </row>
    <row r="24" spans="2:3" ht="30" customHeight="1">
      <c r="B24" s="4" t="s">
        <v>208</v>
      </c>
      <c r="C24" s="2" t="s">
        <v>209</v>
      </c>
    </row>
    <row r="25" spans="2:3" ht="30" customHeight="1">
      <c r="B25" s="4" t="s">
        <v>210</v>
      </c>
      <c r="C25" s="2" t="s">
        <v>211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2_요구사항분석(샘플)</vt:lpstr>
      <vt:lpstr>3_아이디어도출(샘플)</vt:lpstr>
      <vt:lpstr>4_MVP정의(샘플)</vt:lpstr>
      <vt:lpstr>5_WBS_간트차트(샘플)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2026-07-14T08:18:26Z</dcterms:modified>
  <dc:language>en-US</dc:language>
</cp:coreProperties>
</file>